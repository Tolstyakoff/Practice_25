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work\МИФИ магистратура\10_Практика_Pyton_SQL_Metabase\"/>
    </mc:Choice>
  </mc:AlternateContent>
  <bookViews>
    <workbookView xWindow="0" yWindow="0" windowWidth="23040" windowHeight="9384" activeTab="1"/>
  </bookViews>
  <sheets>
    <sheet name="Данные" sheetId="1" r:id="rId1"/>
    <sheet name="Диаграмма" sheetId="2" r:id="rId2"/>
  </sheets>
  <calcPr calcId="152511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<sst xmlns="http://schemas.openxmlformats.org/spreadsheetml/2006/main" count="117" uniqueCount="63">
  <si>
    <t>Белозерский Денис Александрович</t>
  </si>
  <si>
    <t>Нечесова Наталья Валерьевна</t>
  </si>
  <si>
    <t>Устинова Мария Александровна</t>
  </si>
  <si>
    <t>Первов Роман Игоревич</t>
  </si>
  <si>
    <t>Поздеев Дмитрий Михайлович</t>
  </si>
  <si>
    <t>Антоненко Ольга Александровна</t>
  </si>
  <si>
    <t>Дубойский Александр Николаевич</t>
  </si>
  <si>
    <t>Самохина Александра Владимировна</t>
  </si>
  <si>
    <t>Жарков Александр Павлович</t>
  </si>
  <si>
    <t>Антоненко Андрей Викторович</t>
  </si>
  <si>
    <t>Столяров Владимир Викторович</t>
  </si>
  <si>
    <t>Албегов Альберт Тамерланович</t>
  </si>
  <si>
    <t>Чернышев Кирилл Анатольевич</t>
  </si>
  <si>
    <t>Андреев Алексей Николаевич</t>
  </si>
  <si>
    <t>Рудова Евгения Константиновна</t>
  </si>
  <si>
    <t>Леонов Евгений Николаевич</t>
  </si>
  <si>
    <t>Кузнецов Евгений Васильевич</t>
  </si>
  <si>
    <t>Грозова Лариса Николаевна</t>
  </si>
  <si>
    <t>Махоткина Ирина Юрьевна</t>
  </si>
  <si>
    <t>Самбурова Ольга Владиславовна</t>
  </si>
  <si>
    <t>Муравлёв Андрей Петрович</t>
  </si>
  <si>
    <t>Зарубина Мария Витальевна</t>
  </si>
  <si>
    <t>Иполитов Алексей Владимирович</t>
  </si>
  <si>
    <t>Лапаткова Мария Александровна</t>
  </si>
  <si>
    <t>Лавар Владимир Игоревич</t>
  </si>
  <si>
    <t>Стешина Оксана Александровна</t>
  </si>
  <si>
    <t>Вигурин Владимир Олегович</t>
  </si>
  <si>
    <t>Марина Кондратьева</t>
  </si>
  <si>
    <t>Малахов Алексей Александрович</t>
  </si>
  <si>
    <t>Катынкина Елена Александровна</t>
  </si>
  <si>
    <t>Кузьмин Игорь Дмитриевич</t>
  </si>
  <si>
    <t>Матвеев Михаил Михайлович</t>
  </si>
  <si>
    <t>Мусина Елена Константиновна</t>
  </si>
  <si>
    <t>Петросян Асмик Самвеловна</t>
  </si>
  <si>
    <t>Любецкая Юлия Михайловна</t>
  </si>
  <si>
    <t>Чекмарёв Андрей Анатольевич</t>
  </si>
  <si>
    <t>Севостьянова Вера Вадимовна</t>
  </si>
  <si>
    <t>Зубов Евгений Борисович</t>
  </si>
  <si>
    <t>Шварц Оксана Юрьевна</t>
  </si>
  <si>
    <t>Ефименко Алексей Андреевич</t>
  </si>
  <si>
    <t>Барахтянская Надежда Николаевна</t>
  </si>
  <si>
    <t>Смирнова Наталья Петровна</t>
  </si>
  <si>
    <t>Отдел труб и штоков</t>
  </si>
  <si>
    <t>Отдел уплотнений</t>
  </si>
  <si>
    <t>Производство гидроцилиндров</t>
  </si>
  <si>
    <t>Трубка и РВД</t>
  </si>
  <si>
    <t xml:space="preserve">A+ </t>
  </si>
  <si>
    <t>A</t>
  </si>
  <si>
    <t>B</t>
  </si>
  <si>
    <t>C</t>
  </si>
  <si>
    <t>C-</t>
  </si>
  <si>
    <t>Контрагенты</t>
  </si>
  <si>
    <t>Сделки</t>
  </si>
  <si>
    <t xml:space="preserve">Сумма </t>
  </si>
  <si>
    <t>Отдел</t>
  </si>
  <si>
    <t>Менеджер</t>
  </si>
  <si>
    <t>Названия строк</t>
  </si>
  <si>
    <t>Общий итог</t>
  </si>
  <si>
    <t xml:space="preserve">A+  </t>
  </si>
  <si>
    <t xml:space="preserve">A </t>
  </si>
  <si>
    <t xml:space="preserve">B </t>
  </si>
  <si>
    <t xml:space="preserve">C </t>
  </si>
  <si>
    <t xml:space="preserve"> C-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</si>
</sst>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 Сводные диаграммы по менеджерам.xlsx]Диаграмма!СводнаяТаблица1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FF6699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Диаграмма!$B$3</c:f>
              <c:strCache>
                <c:ptCount val="1"/>
                <c:pt idx="0">
                  <c:v>A+ 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Диаграмма!$A$4:$A$16</c:f>
              <c:strCache>
                <c:ptCount val="12"/>
                <c:pt idx="0">
                  <c:v>Андреев Алексей Николаевич</c:v>
                </c:pt>
                <c:pt idx="1">
                  <c:v>Барахтянская Надежда Николаевна</c:v>
                </c:pt>
                <c:pt idx="2">
                  <c:v>Вигурин Владимир Олегович</c:v>
                </c:pt>
                <c:pt idx="3">
                  <c:v>Зарубина Мария Витальевна</c:v>
                </c:pt>
                <c:pt idx="4">
                  <c:v>Иполитов Алексей Владимирович</c:v>
                </c:pt>
                <c:pt idx="5">
                  <c:v>Малахов Алексей Александрович</c:v>
                </c:pt>
                <c:pt idx="6">
                  <c:v>Матвеев Михаил Михайлович</c:v>
                </c:pt>
                <c:pt idx="7">
                  <c:v>Муравлёв Андрей Петрович</c:v>
                </c:pt>
                <c:pt idx="8">
                  <c:v>Столяров Владимир Викторович</c:v>
                </c:pt>
                <c:pt idx="9">
                  <c:v>Чекмарёв Андрей Анатольевич</c:v>
                </c:pt>
                <c:pt idx="10">
                  <c:v>Чернышев Кирилл Анатольевич</c:v>
                </c:pt>
                <c:pt idx="11">
                  <c:v>Шварц Оксана Юрьевна</c:v>
                </c:pt>
              </c:strCache>
            </c:strRef>
          </c:cat>
          <c:val>
            <c:numRef>
              <c:f>Диаграмма!$B$4:$B$16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Диаграмма!$C$3</c:f>
              <c:strCache>
                <c:ptCount val="1"/>
                <c:pt idx="0">
                  <c:v>A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Диаграмма!$A$4:$A$16</c:f>
              <c:strCache>
                <c:ptCount val="12"/>
                <c:pt idx="0">
                  <c:v>Андреев Алексей Николаевич</c:v>
                </c:pt>
                <c:pt idx="1">
                  <c:v>Барахтянская Надежда Николаевна</c:v>
                </c:pt>
                <c:pt idx="2">
                  <c:v>Вигурин Владимир Олегович</c:v>
                </c:pt>
                <c:pt idx="3">
                  <c:v>Зарубина Мария Витальевна</c:v>
                </c:pt>
                <c:pt idx="4">
                  <c:v>Иполитов Алексей Владимирович</c:v>
                </c:pt>
                <c:pt idx="5">
                  <c:v>Малахов Алексей Александрович</c:v>
                </c:pt>
                <c:pt idx="6">
                  <c:v>Матвеев Михаил Михайлович</c:v>
                </c:pt>
                <c:pt idx="7">
                  <c:v>Муравлёв Андрей Петрович</c:v>
                </c:pt>
                <c:pt idx="8">
                  <c:v>Столяров Владимир Викторович</c:v>
                </c:pt>
                <c:pt idx="9">
                  <c:v>Чекмарёв Андрей Анатольевич</c:v>
                </c:pt>
                <c:pt idx="10">
                  <c:v>Чернышев Кирилл Анатольевич</c:v>
                </c:pt>
                <c:pt idx="11">
                  <c:v>Шварц Оксана Юрьевна</c:v>
                </c:pt>
              </c:strCache>
            </c:strRef>
          </c:cat>
          <c:val>
            <c:numRef>
              <c:f>Диаграмма!$C$4:$C$16</c:f>
              <c:numCache>
                <c:formatCode>General</c:formatCode>
                <c:ptCount val="12"/>
                <c:pt idx="0">
                  <c:v>11</c:v>
                </c:pt>
                <c:pt idx="1">
                  <c:v>0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11</c:v>
                </c:pt>
                <c:pt idx="8">
                  <c:v>13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Диаграмма!$D$3</c:f>
              <c:strCache>
                <c:ptCount val="1"/>
                <c:pt idx="0">
                  <c:v>B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Диаграмма!$A$4:$A$16</c:f>
              <c:strCache>
                <c:ptCount val="12"/>
                <c:pt idx="0">
                  <c:v>Андреев Алексей Николаевич</c:v>
                </c:pt>
                <c:pt idx="1">
                  <c:v>Барахтянская Надежда Николаевна</c:v>
                </c:pt>
                <c:pt idx="2">
                  <c:v>Вигурин Владимир Олегович</c:v>
                </c:pt>
                <c:pt idx="3">
                  <c:v>Зарубина Мария Витальевна</c:v>
                </c:pt>
                <c:pt idx="4">
                  <c:v>Иполитов Алексей Владимирович</c:v>
                </c:pt>
                <c:pt idx="5">
                  <c:v>Малахов Алексей Александрович</c:v>
                </c:pt>
                <c:pt idx="6">
                  <c:v>Матвеев Михаил Михайлович</c:v>
                </c:pt>
                <c:pt idx="7">
                  <c:v>Муравлёв Андрей Петрович</c:v>
                </c:pt>
                <c:pt idx="8">
                  <c:v>Столяров Владимир Викторович</c:v>
                </c:pt>
                <c:pt idx="9">
                  <c:v>Чекмарёв Андрей Анатольевич</c:v>
                </c:pt>
                <c:pt idx="10">
                  <c:v>Чернышев Кирилл Анатольевич</c:v>
                </c:pt>
                <c:pt idx="11">
                  <c:v>Шварц Оксана Юрьевна</c:v>
                </c:pt>
              </c:strCache>
            </c:strRef>
          </c:cat>
          <c:val>
            <c:numRef>
              <c:f>Диаграмма!$D$4:$D$16</c:f>
              <c:numCache>
                <c:formatCode>General</c:formatCode>
                <c:ptCount val="12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5</c:v>
                </c:pt>
                <c:pt idx="6">
                  <c:v>1</c:v>
                </c:pt>
                <c:pt idx="7">
                  <c:v>13</c:v>
                </c:pt>
                <c:pt idx="8">
                  <c:v>8</c:v>
                </c:pt>
                <c:pt idx="9">
                  <c:v>1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Диаграмма!$E$3</c:f>
              <c:strCache>
                <c:ptCount val="1"/>
                <c:pt idx="0">
                  <c:v>C 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Диаграмма!$A$4:$A$16</c:f>
              <c:strCache>
                <c:ptCount val="12"/>
                <c:pt idx="0">
                  <c:v>Андреев Алексей Николаевич</c:v>
                </c:pt>
                <c:pt idx="1">
                  <c:v>Барахтянская Надежда Николаевна</c:v>
                </c:pt>
                <c:pt idx="2">
                  <c:v>Вигурин Владимир Олегович</c:v>
                </c:pt>
                <c:pt idx="3">
                  <c:v>Зарубина Мария Витальевна</c:v>
                </c:pt>
                <c:pt idx="4">
                  <c:v>Иполитов Алексей Владимирович</c:v>
                </c:pt>
                <c:pt idx="5">
                  <c:v>Малахов Алексей Александрович</c:v>
                </c:pt>
                <c:pt idx="6">
                  <c:v>Матвеев Михаил Михайлович</c:v>
                </c:pt>
                <c:pt idx="7">
                  <c:v>Муравлёв Андрей Петрович</c:v>
                </c:pt>
                <c:pt idx="8">
                  <c:v>Столяров Владимир Викторович</c:v>
                </c:pt>
                <c:pt idx="9">
                  <c:v>Чекмарёв Андрей Анатольевич</c:v>
                </c:pt>
                <c:pt idx="10">
                  <c:v>Чернышев Кирилл Анатольевич</c:v>
                </c:pt>
                <c:pt idx="11">
                  <c:v>Шварц Оксана Юрьевна</c:v>
                </c:pt>
              </c:strCache>
            </c:strRef>
          </c:cat>
          <c:val>
            <c:numRef>
              <c:f>Диаграмма!$E$4:$E$16</c:f>
              <c:numCache>
                <c:formatCode>General</c:formatCode>
                <c:ptCount val="12"/>
                <c:pt idx="0">
                  <c:v>93</c:v>
                </c:pt>
                <c:pt idx="1">
                  <c:v>2</c:v>
                </c:pt>
                <c:pt idx="2">
                  <c:v>157</c:v>
                </c:pt>
                <c:pt idx="3">
                  <c:v>151</c:v>
                </c:pt>
                <c:pt idx="4">
                  <c:v>105</c:v>
                </c:pt>
                <c:pt idx="5">
                  <c:v>141</c:v>
                </c:pt>
                <c:pt idx="6">
                  <c:v>106</c:v>
                </c:pt>
                <c:pt idx="7">
                  <c:v>151</c:v>
                </c:pt>
                <c:pt idx="8">
                  <c:v>129</c:v>
                </c:pt>
                <c:pt idx="9">
                  <c:v>69</c:v>
                </c:pt>
                <c:pt idx="10">
                  <c:v>44</c:v>
                </c:pt>
                <c:pt idx="11">
                  <c:v>4</c:v>
                </c:pt>
              </c:numCache>
            </c:numRef>
          </c:val>
        </c:ser>
        <c:ser>
          <c:idx val="4"/>
          <c:order val="4"/>
          <c:tx>
            <c:strRef>
              <c:f>Диаграмма!$F$3</c:f>
              <c:strCache>
                <c:ptCount val="1"/>
                <c:pt idx="0">
                  <c:v> C-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Диаграмма!$A$4:$A$16</c:f>
              <c:strCache>
                <c:ptCount val="12"/>
                <c:pt idx="0">
                  <c:v>Андреев Алексей Николаевич</c:v>
                </c:pt>
                <c:pt idx="1">
                  <c:v>Барахтянская Надежда Николаевна</c:v>
                </c:pt>
                <c:pt idx="2">
                  <c:v>Вигурин Владимир Олегович</c:v>
                </c:pt>
                <c:pt idx="3">
                  <c:v>Зарубина Мария Витальевна</c:v>
                </c:pt>
                <c:pt idx="4">
                  <c:v>Иполитов Алексей Владимирович</c:v>
                </c:pt>
                <c:pt idx="5">
                  <c:v>Малахов Алексей Александрович</c:v>
                </c:pt>
                <c:pt idx="6">
                  <c:v>Матвеев Михаил Михайлович</c:v>
                </c:pt>
                <c:pt idx="7">
                  <c:v>Муравлёв Андрей Петрович</c:v>
                </c:pt>
                <c:pt idx="8">
                  <c:v>Столяров Владимир Викторович</c:v>
                </c:pt>
                <c:pt idx="9">
                  <c:v>Чекмарёв Андрей Анатольевич</c:v>
                </c:pt>
                <c:pt idx="10">
                  <c:v>Чернышев Кирилл Анатольевич</c:v>
                </c:pt>
                <c:pt idx="11">
                  <c:v>Шварц Оксана Юрьевна</c:v>
                </c:pt>
              </c:strCache>
            </c:strRef>
          </c:cat>
          <c:val>
            <c:numRef>
              <c:f>Диаграмма!$F$4:$F$16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8377088"/>
        <c:axId val="218383072"/>
      </c:barChart>
      <c:catAx>
        <c:axId val="21837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383072"/>
        <c:crosses val="autoZero"/>
        <c:auto val="1"/>
        <c:lblAlgn val="ctr"/>
        <c:lblOffset val="100"/>
        <c:noMultiLvlLbl val="0"/>
      </c:catAx>
      <c:valAx>
        <c:axId val="2183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37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615614508241555"/>
          <c:y val="2.5326719004106681E-2"/>
          <c:w val="6.106519742883379E-2"/>
          <c:h val="0.2449359041858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0</xdr:row>
      <xdr:rowOff>137160</xdr:rowOff>
    </xdr:from>
    <xdr:to>
      <xdr:col>19</xdr:col>
      <xdr:colOff>495300</xdr:colOff>
      <xdr:row>28</xdr:row>
      <xdr:rowOff>144780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6.045080208336" createdVersion="5" refreshedVersion="5" minRefreshableVersion="3" recordCount="43">
  <cacheSource type="worksheet">
    <worksheetSource ref="A1:J44" sheet="Данные"/>
  </cacheSource>
  <cacheFields count="10">
    <cacheField name="Отдел" numFmtId="0">
      <sharedItems count="4">
        <s v="Отдел труб и штоков"/>
        <s v="Отдел уплотнений"/>
        <s v="Производство гидроцилиндров"/>
        <s v="Трубка и РВД"/>
      </sharedItems>
    </cacheField>
    <cacheField name="Менеджер" numFmtId="0">
      <sharedItems count="42">
        <s v="Белозерский Денис Александрович"/>
        <s v="Нечесова Наталья Валерьевна"/>
        <s v="Устинова Мария Александровна"/>
        <s v="Поздеев Дмитрий Михайлович"/>
        <s v="Антоненко Ольга Александровна"/>
        <s v="Самохина Александра Владимировна"/>
        <s v="Лавар Владимир Игоревич"/>
        <s v="Петросян Асмик Самвеловна"/>
        <s v="Любецкая Юлия Михайловна"/>
        <s v="Севостьянова Вера Вадимовна"/>
        <s v="Ефименко Алексей Андреевич"/>
        <s v="Самбурова Ольга Владиславовна"/>
        <s v="Столяров Владимир Викторович"/>
        <s v="Чернышев Кирилл Анатольевич"/>
        <s v="Андреев Алексей Николаевич"/>
        <s v="Муравлёв Андрей Петрович"/>
        <s v="Зарубина Мария Витальевна"/>
        <s v="Иполитов Алексей Владимирович"/>
        <s v="Вигурин Владимир Олегович"/>
        <s v="Малахов Алексей Александрович"/>
        <s v="Матвеев Михаил Михайлович"/>
        <s v="Чекмарёв Андрей Анатольевич"/>
        <s v="Шварц Оксана Юрьевна"/>
        <s v="Барахтянская Надежда Николаевна"/>
        <s v="Первов Роман Игоревич"/>
        <s v="Дубойский Александр Николаевич"/>
        <s v="Жарков Александр Павлович"/>
        <s v="Антоненко Андрей Викторович"/>
        <s v="Албегов Альберт Тамерланович"/>
        <s v="Зубов Евгений Борисович"/>
        <s v="Рудова Евгения Константиновна"/>
        <s v="Леонов Евгений Николаевич"/>
        <s v="Кузнецов Евгений Васильевич"/>
        <s v="Грозова Лариса Николаевна"/>
        <s v="Махоткина Ирина Юрьевна"/>
        <s v="Лапаткова Мария Александровна"/>
        <s v="Стешина Оксана Александровна"/>
        <s v="Марина Кондратьева"/>
        <s v="Катынкина Елена Александровна"/>
        <s v="Кузьмин Игорь Дмитриевич"/>
        <s v="Мусина Елена Константиновна"/>
        <s v="Смирнова Наталья Петровна"/>
      </sharedItems>
    </cacheField>
    <cacheField name="Контрагенты" numFmtId="0">
      <sharedItems containsSemiMixedTypes="0" containsString="0" containsNumber="1" containsInteger="1" minValue="1" maxValue="386"/>
    </cacheField>
    <cacheField name="Сделки" numFmtId="0">
      <sharedItems containsSemiMixedTypes="0" containsString="0" containsNumber="1" containsInteger="1" minValue="1" maxValue="1645"/>
    </cacheField>
    <cacheField name="Сумма " numFmtId="0">
      <sharedItems containsSemiMixedTypes="0" containsString="0" containsNumber="1" minValue="1177.2" maxValue="292298217.01999998"/>
    </cacheField>
    <cacheField name="A+ " numFmtId="0">
      <sharedItems containsSemiMixedTypes="0" containsString="0" containsNumber="1" containsInteger="1" minValue="0" maxValue="12"/>
    </cacheField>
    <cacheField name="A" numFmtId="0">
      <sharedItems containsSemiMixedTypes="0" containsString="0" containsNumber="1" containsInteger="1" minValue="0" maxValue="58"/>
    </cacheField>
    <cacheField name="B" numFmtId="0">
      <sharedItems containsSemiMixedTypes="0" containsString="0" containsNumber="1" containsInteger="1" minValue="0" maxValue="56"/>
    </cacheField>
    <cacheField name="C" numFmtId="0">
      <sharedItems containsSemiMixedTypes="0" containsString="0" containsNumber="1" containsInteger="1" minValue="1" maxValue="296"/>
    </cacheField>
    <cacheField name="C-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x v="0"/>
    <n v="370"/>
    <n v="1354"/>
    <n v="292298217.01999998"/>
    <n v="4"/>
    <n v="35"/>
    <n v="56"/>
    <n v="275"/>
    <n v="0"/>
  </r>
  <r>
    <x v="0"/>
    <x v="1"/>
    <n v="185"/>
    <n v="1446"/>
    <n v="274155963.67000002"/>
    <n v="12"/>
    <n v="58"/>
    <n v="31"/>
    <n v="84"/>
    <n v="0"/>
  </r>
  <r>
    <x v="0"/>
    <x v="2"/>
    <n v="159"/>
    <n v="1503"/>
    <n v="198444495.53999999"/>
    <n v="10"/>
    <n v="42"/>
    <n v="26"/>
    <n v="81"/>
    <n v="0"/>
  </r>
  <r>
    <x v="0"/>
    <x v="3"/>
    <n v="386"/>
    <n v="1645"/>
    <n v="183748796.38"/>
    <n v="5"/>
    <n v="37"/>
    <n v="48"/>
    <n v="296"/>
    <n v="0"/>
  </r>
  <r>
    <x v="0"/>
    <x v="4"/>
    <n v="237"/>
    <n v="705"/>
    <n v="183581542.93000001"/>
    <n v="8"/>
    <n v="14"/>
    <n v="9"/>
    <n v="205"/>
    <n v="1"/>
  </r>
  <r>
    <x v="0"/>
    <x v="5"/>
    <n v="89"/>
    <n v="295"/>
    <n v="131722479.52"/>
    <n v="8"/>
    <n v="6"/>
    <n v="7"/>
    <n v="68"/>
    <n v="0"/>
  </r>
  <r>
    <x v="0"/>
    <x v="6"/>
    <n v="130"/>
    <n v="533"/>
    <n v="29787842.059999999"/>
    <n v="1"/>
    <n v="6"/>
    <n v="3"/>
    <n v="120"/>
    <n v="0"/>
  </r>
  <r>
    <x v="0"/>
    <x v="7"/>
    <n v="43"/>
    <n v="52"/>
    <n v="4193963.96"/>
    <n v="0"/>
    <n v="0"/>
    <n v="1"/>
    <n v="42"/>
    <n v="0"/>
  </r>
  <r>
    <x v="0"/>
    <x v="8"/>
    <n v="25"/>
    <n v="78"/>
    <n v="3215337.75"/>
    <n v="0"/>
    <n v="1"/>
    <n v="1"/>
    <n v="23"/>
    <n v="0"/>
  </r>
  <r>
    <x v="0"/>
    <x v="9"/>
    <n v="10"/>
    <n v="18"/>
    <n v="175652.94"/>
    <n v="0"/>
    <n v="0"/>
    <n v="0"/>
    <n v="10"/>
    <n v="0"/>
  </r>
  <r>
    <x v="0"/>
    <x v="10"/>
    <n v="1"/>
    <n v="1"/>
    <n v="26676"/>
    <n v="0"/>
    <n v="0"/>
    <n v="0"/>
    <n v="1"/>
    <n v="0"/>
  </r>
  <r>
    <x v="0"/>
    <x v="11"/>
    <n v="1"/>
    <n v="1"/>
    <n v="1177.2"/>
    <n v="0"/>
    <n v="0"/>
    <n v="0"/>
    <n v="1"/>
    <n v="0"/>
  </r>
  <r>
    <x v="1"/>
    <x v="12"/>
    <n v="153"/>
    <n v="578"/>
    <n v="69718888.409999996"/>
    <n v="3"/>
    <n v="13"/>
    <n v="8"/>
    <n v="129"/>
    <n v="0"/>
  </r>
  <r>
    <x v="1"/>
    <x v="13"/>
    <n v="64"/>
    <n v="175"/>
    <n v="64383638.990000002"/>
    <n v="5"/>
    <n v="7"/>
    <n v="8"/>
    <n v="44"/>
    <n v="0"/>
  </r>
  <r>
    <x v="1"/>
    <x v="14"/>
    <n v="116"/>
    <n v="378"/>
    <n v="63782447.850000001"/>
    <n v="2"/>
    <n v="11"/>
    <n v="10"/>
    <n v="93"/>
    <n v="0"/>
  </r>
  <r>
    <x v="1"/>
    <x v="15"/>
    <n v="175"/>
    <n v="739"/>
    <n v="46232457.719999999"/>
    <n v="0"/>
    <n v="11"/>
    <n v="13"/>
    <n v="151"/>
    <n v="0"/>
  </r>
  <r>
    <x v="1"/>
    <x v="16"/>
    <n v="173"/>
    <n v="657"/>
    <n v="45589244.399999999"/>
    <n v="1"/>
    <n v="8"/>
    <n v="13"/>
    <n v="151"/>
    <n v="0"/>
  </r>
  <r>
    <x v="1"/>
    <x v="17"/>
    <n v="127"/>
    <n v="362"/>
    <n v="39230774.93"/>
    <n v="0"/>
    <n v="8"/>
    <n v="14"/>
    <n v="105"/>
    <n v="0"/>
  </r>
  <r>
    <x v="1"/>
    <x v="18"/>
    <n v="172"/>
    <n v="570"/>
    <n v="28333641.809999999"/>
    <n v="0"/>
    <n v="5"/>
    <n v="10"/>
    <n v="157"/>
    <n v="0"/>
  </r>
  <r>
    <x v="1"/>
    <x v="19"/>
    <n v="149"/>
    <n v="419"/>
    <n v="18164576.68"/>
    <n v="0"/>
    <n v="3"/>
    <n v="5"/>
    <n v="141"/>
    <n v="0"/>
  </r>
  <r>
    <x v="1"/>
    <x v="20"/>
    <n v="108"/>
    <n v="176"/>
    <n v="6026969.7300000004"/>
    <n v="0"/>
    <n v="1"/>
    <n v="1"/>
    <n v="106"/>
    <n v="0"/>
  </r>
  <r>
    <x v="1"/>
    <x v="21"/>
    <n v="70"/>
    <n v="135"/>
    <n v="2786766.27"/>
    <n v="0"/>
    <n v="0"/>
    <n v="1"/>
    <n v="69"/>
    <n v="0"/>
  </r>
  <r>
    <x v="1"/>
    <x v="22"/>
    <n v="4"/>
    <n v="5"/>
    <n v="130103.58"/>
    <n v="0"/>
    <n v="0"/>
    <n v="0"/>
    <n v="4"/>
    <n v="0"/>
  </r>
  <r>
    <x v="1"/>
    <x v="23"/>
    <n v="2"/>
    <n v="2"/>
    <n v="20196"/>
    <n v="0"/>
    <n v="0"/>
    <n v="0"/>
    <n v="2"/>
    <n v="0"/>
  </r>
  <r>
    <x v="2"/>
    <x v="24"/>
    <n v="115"/>
    <n v="205"/>
    <n v="194090051.38"/>
    <n v="9"/>
    <n v="34"/>
    <n v="19"/>
    <n v="53"/>
    <n v="0"/>
  </r>
  <r>
    <x v="2"/>
    <x v="25"/>
    <n v="50"/>
    <n v="94"/>
    <n v="135649269.40000001"/>
    <n v="5"/>
    <n v="19"/>
    <n v="7"/>
    <n v="19"/>
    <n v="0"/>
  </r>
  <r>
    <x v="2"/>
    <x v="26"/>
    <n v="40"/>
    <n v="65"/>
    <n v="108722902.98"/>
    <n v="7"/>
    <n v="13"/>
    <n v="5"/>
    <n v="15"/>
    <n v="0"/>
  </r>
  <r>
    <x v="2"/>
    <x v="27"/>
    <n v="43"/>
    <n v="68"/>
    <n v="84014380"/>
    <n v="5"/>
    <n v="6"/>
    <n v="4"/>
    <n v="28"/>
    <n v="0"/>
  </r>
  <r>
    <x v="2"/>
    <x v="28"/>
    <n v="45"/>
    <n v="68"/>
    <n v="68946300.090000004"/>
    <n v="4"/>
    <n v="9"/>
    <n v="7"/>
    <n v="25"/>
    <n v="0"/>
  </r>
  <r>
    <x v="2"/>
    <x v="29"/>
    <n v="1"/>
    <n v="1"/>
    <n v="144960"/>
    <n v="0"/>
    <n v="0"/>
    <n v="0"/>
    <n v="1"/>
    <n v="0"/>
  </r>
  <r>
    <x v="3"/>
    <x v="30"/>
    <n v="182"/>
    <n v="537"/>
    <n v="55395162.07"/>
    <n v="1"/>
    <n v="15"/>
    <n v="10"/>
    <n v="156"/>
    <n v="0"/>
  </r>
  <r>
    <x v="3"/>
    <x v="31"/>
    <n v="93"/>
    <n v="338"/>
    <n v="53343303.710000001"/>
    <n v="2"/>
    <n v="10"/>
    <n v="6"/>
    <n v="74"/>
    <n v="1"/>
  </r>
  <r>
    <x v="3"/>
    <x v="32"/>
    <n v="9"/>
    <n v="37"/>
    <n v="50765984.350000001"/>
    <n v="3"/>
    <n v="1"/>
    <n v="1"/>
    <n v="4"/>
    <n v="0"/>
  </r>
  <r>
    <x v="3"/>
    <x v="33"/>
    <n v="282"/>
    <n v="765"/>
    <n v="50723180.299999997"/>
    <n v="0"/>
    <n v="9"/>
    <n v="15"/>
    <n v="258"/>
    <n v="0"/>
  </r>
  <r>
    <x v="3"/>
    <x v="34"/>
    <n v="122"/>
    <n v="367"/>
    <n v="49494278.600000001"/>
    <n v="2"/>
    <n v="8"/>
    <n v="12"/>
    <n v="100"/>
    <n v="0"/>
  </r>
  <r>
    <x v="3"/>
    <x v="11"/>
    <n v="312"/>
    <n v="686"/>
    <n v="46773678.770000003"/>
    <n v="0"/>
    <n v="12"/>
    <n v="10"/>
    <n v="290"/>
    <n v="0"/>
  </r>
  <r>
    <x v="3"/>
    <x v="35"/>
    <n v="166"/>
    <n v="415"/>
    <n v="33578942.590000004"/>
    <n v="1"/>
    <n v="5"/>
    <n v="7"/>
    <n v="152"/>
    <n v="1"/>
  </r>
  <r>
    <x v="3"/>
    <x v="36"/>
    <n v="170"/>
    <n v="400"/>
    <n v="28397775.48"/>
    <n v="1"/>
    <n v="5"/>
    <n v="6"/>
    <n v="158"/>
    <n v="0"/>
  </r>
  <r>
    <x v="3"/>
    <x v="37"/>
    <n v="136"/>
    <n v="333"/>
    <n v="28319969.16"/>
    <n v="1"/>
    <n v="4"/>
    <n v="8"/>
    <n v="123"/>
    <n v="0"/>
  </r>
  <r>
    <x v="3"/>
    <x v="38"/>
    <n v="111"/>
    <n v="196"/>
    <n v="8271900.1299999999"/>
    <n v="0"/>
    <n v="1"/>
    <n v="0"/>
    <n v="110"/>
    <n v="0"/>
  </r>
  <r>
    <x v="3"/>
    <x v="39"/>
    <n v="138"/>
    <n v="197"/>
    <n v="6342983.1600000001"/>
    <n v="0"/>
    <n v="0"/>
    <n v="1"/>
    <n v="137"/>
    <n v="0"/>
  </r>
  <r>
    <x v="3"/>
    <x v="40"/>
    <n v="72"/>
    <n v="96"/>
    <n v="5249708.83"/>
    <n v="0"/>
    <n v="0"/>
    <n v="2"/>
    <n v="70"/>
    <n v="0"/>
  </r>
  <r>
    <x v="3"/>
    <x v="41"/>
    <n v="1"/>
    <n v="1"/>
    <n v="1620"/>
    <n v="0"/>
    <n v="0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1" dataCaption="Значения" updatedVersion="5" minRefreshableVersion="3" preserveFormatting="0" itemPrintTitles="1" createdVersion="5" indent="0" outline="1" outlineData="1" multipleFieldFilters="0" chartFormat="9">
  <location ref="A3:F16" firstHeaderRow="0" firstDataRow="1" firstDataCol="1" rowPageCount="1" colPageCount="1"/>
  <pivotFields count="10">
    <pivotField axis="axisPage" showAll="0">
      <items count="5">
        <item x="0"/>
        <item x="1"/>
        <item x="2"/>
        <item x="3"/>
        <item t="default"/>
      </items>
    </pivotField>
    <pivotField axis="axisRow" showAll="0" sortType="ascending">
      <items count="43">
        <item x="28"/>
        <item x="14"/>
        <item x="27"/>
        <item x="4"/>
        <item x="23"/>
        <item x="0"/>
        <item x="18"/>
        <item x="33"/>
        <item x="25"/>
        <item x="10"/>
        <item x="26"/>
        <item x="16"/>
        <item x="29"/>
        <item x="17"/>
        <item x="38"/>
        <item x="32"/>
        <item x="39"/>
        <item x="6"/>
        <item x="35"/>
        <item x="31"/>
        <item x="8"/>
        <item x="19"/>
        <item x="37"/>
        <item x="20"/>
        <item x="34"/>
        <item x="15"/>
        <item x="40"/>
        <item x="1"/>
        <item x="24"/>
        <item x="7"/>
        <item x="3"/>
        <item x="30"/>
        <item x="11"/>
        <item x="5"/>
        <item x="9"/>
        <item x="41"/>
        <item x="36"/>
        <item x="12"/>
        <item x="2"/>
        <item x="21"/>
        <item x="13"/>
        <item x="2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3">
    <i>
      <x v="1"/>
    </i>
    <i>
      <x v="4"/>
    </i>
    <i>
      <x v="6"/>
    </i>
    <i>
      <x v="11"/>
    </i>
    <i>
      <x v="13"/>
    </i>
    <i>
      <x v="21"/>
    </i>
    <i>
      <x v="23"/>
    </i>
    <i>
      <x v="25"/>
    </i>
    <i>
      <x v="37"/>
    </i>
    <i>
      <x v="39"/>
    </i>
    <i>
      <x v="40"/>
    </i>
    <i>
      <x v="4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item="1" hier="-1"/>
  </pageFields>
  <dataFields count="5">
    <dataField name="A+  " fld="5" baseField="0" baseItem="0"/>
    <dataField name="A " fld="6" baseField="0" baseItem="0"/>
    <dataField name="B " fld="7" baseField="0" baseItem="0"/>
    <dataField name="C " fld="8" baseField="0" baseItem="0"/>
    <dataField name=" C- " fld="9" baseField="0" baseItem="0"/>
  </dataField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zoomScale="85" zoomScaleNormal="85" workbookViewId="0">
      <selection sqref="A1:J3"/>
    </sheetView>
  </sheetViews>
  <sheetFormatPr defaultRowHeight="14.4" x14ac:dyDescent="0.3"/>
  <cols>
    <col min="1" max="1" width="28.77734375" customWidth="1"/>
    <col min="2" max="2" width="36.5546875" customWidth="1"/>
    <col min="3" max="3" width="12.33203125" customWidth="1"/>
    <col min="5" max="5" width="13.88671875" customWidth="1"/>
  </cols>
  <sheetData>
    <row r="1" spans="1:10" x14ac:dyDescent="0.3">
      <c r="A1" s="1" t="s">
        <v>54</v>
      </c>
      <c r="B1" s="1" t="s">
        <v>55</v>
      </c>
      <c r="C1" s="1" t="s">
        <v>51</v>
      </c>
      <c r="D1" s="1" t="s">
        <v>52</v>
      </c>
      <c r="E1" s="1" t="s">
        <v>53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x14ac:dyDescent="0.3">
      <c r="A2" t="s">
        <v>42</v>
      </c>
      <c r="B2" t="s">
        <v>0</v>
      </c>
      <c r="C2">
        <v>370</v>
      </c>
      <c r="D2">
        <v>1354</v>
      </c>
      <c r="E2">
        <v>292298217.01999998</v>
      </c>
      <c r="F2">
        <v>4</v>
      </c>
      <c r="G2">
        <v>35</v>
      </c>
      <c r="H2">
        <v>56</v>
      </c>
      <c r="I2">
        <v>275</v>
      </c>
      <c r="J2">
        <v>0</v>
      </c>
    </row>
    <row r="3" spans="1:10" x14ac:dyDescent="0.3">
      <c r="A3" t="s">
        <v>42</v>
      </c>
      <c r="B3" t="s">
        <v>1</v>
      </c>
      <c r="C3">
        <v>185</v>
      </c>
      <c r="D3">
        <v>1446</v>
      </c>
      <c r="E3">
        <v>274155963.67000002</v>
      </c>
      <c r="F3">
        <v>12</v>
      </c>
      <c r="G3">
        <v>58</v>
      </c>
      <c r="H3">
        <v>31</v>
      </c>
      <c r="I3">
        <v>84</v>
      </c>
      <c r="J3">
        <v>0</v>
      </c>
    </row>
    <row r="4" spans="1:10" x14ac:dyDescent="0.3">
      <c r="A4" t="s">
        <v>42</v>
      </c>
      <c r="B4" t="s">
        <v>2</v>
      </c>
      <c r="C4">
        <v>159</v>
      </c>
      <c r="D4">
        <v>1503</v>
      </c>
      <c r="E4">
        <v>198444495.53999999</v>
      </c>
      <c r="F4">
        <v>10</v>
      </c>
      <c r="G4">
        <v>42</v>
      </c>
      <c r="H4">
        <v>26</v>
      </c>
      <c r="I4">
        <v>81</v>
      </c>
      <c r="J4">
        <v>0</v>
      </c>
    </row>
    <row r="5" spans="1:10" x14ac:dyDescent="0.3">
      <c r="A5" t="s">
        <v>42</v>
      </c>
      <c r="B5" t="s">
        <v>4</v>
      </c>
      <c r="C5">
        <v>386</v>
      </c>
      <c r="D5">
        <v>1645</v>
      </c>
      <c r="E5">
        <v>183748796.38</v>
      </c>
      <c r="F5">
        <v>5</v>
      </c>
      <c r="G5">
        <v>37</v>
      </c>
      <c r="H5">
        <v>48</v>
      </c>
      <c r="I5">
        <v>296</v>
      </c>
      <c r="J5">
        <v>0</v>
      </c>
    </row>
    <row r="6" spans="1:10" x14ac:dyDescent="0.3">
      <c r="A6" t="s">
        <v>42</v>
      </c>
      <c r="B6" t="s">
        <v>5</v>
      </c>
      <c r="C6">
        <v>237</v>
      </c>
      <c r="D6">
        <v>705</v>
      </c>
      <c r="E6">
        <v>183581542.93000001</v>
      </c>
      <c r="F6">
        <v>8</v>
      </c>
      <c r="G6">
        <v>14</v>
      </c>
      <c r="H6">
        <v>9</v>
      </c>
      <c r="I6">
        <v>205</v>
      </c>
      <c r="J6">
        <v>1</v>
      </c>
    </row>
    <row r="7" spans="1:10" x14ac:dyDescent="0.3">
      <c r="A7" t="s">
        <v>42</v>
      </c>
      <c r="B7" t="s">
        <v>7</v>
      </c>
      <c r="C7">
        <v>89</v>
      </c>
      <c r="D7">
        <v>295</v>
      </c>
      <c r="E7">
        <v>131722479.52</v>
      </c>
      <c r="F7">
        <v>8</v>
      </c>
      <c r="G7">
        <v>6</v>
      </c>
      <c r="H7">
        <v>7</v>
      </c>
      <c r="I7">
        <v>68</v>
      </c>
      <c r="J7">
        <v>0</v>
      </c>
    </row>
    <row r="8" spans="1:10" x14ac:dyDescent="0.3">
      <c r="A8" t="s">
        <v>42</v>
      </c>
      <c r="B8" t="s">
        <v>24</v>
      </c>
      <c r="C8">
        <v>130</v>
      </c>
      <c r="D8">
        <v>533</v>
      </c>
      <c r="E8">
        <v>29787842.059999999</v>
      </c>
      <c r="F8">
        <v>1</v>
      </c>
      <c r="G8">
        <v>6</v>
      </c>
      <c r="H8">
        <v>3</v>
      </c>
      <c r="I8">
        <v>120</v>
      </c>
      <c r="J8">
        <v>0</v>
      </c>
    </row>
    <row r="9" spans="1:10" x14ac:dyDescent="0.3">
      <c r="A9" t="s">
        <v>42</v>
      </c>
      <c r="B9" t="s">
        <v>33</v>
      </c>
      <c r="C9">
        <v>43</v>
      </c>
      <c r="D9">
        <v>52</v>
      </c>
      <c r="E9">
        <v>4193963.96</v>
      </c>
      <c r="F9">
        <v>0</v>
      </c>
      <c r="G9">
        <v>0</v>
      </c>
      <c r="H9">
        <v>1</v>
      </c>
      <c r="I9">
        <v>42</v>
      </c>
      <c r="J9">
        <v>0</v>
      </c>
    </row>
    <row r="10" spans="1:10" x14ac:dyDescent="0.3">
      <c r="A10" t="s">
        <v>42</v>
      </c>
      <c r="B10" t="s">
        <v>34</v>
      </c>
      <c r="C10">
        <v>25</v>
      </c>
      <c r="D10">
        <v>78</v>
      </c>
      <c r="E10">
        <v>3215337.75</v>
      </c>
      <c r="F10">
        <v>0</v>
      </c>
      <c r="G10">
        <v>1</v>
      </c>
      <c r="H10">
        <v>1</v>
      </c>
      <c r="I10">
        <v>23</v>
      </c>
      <c r="J10">
        <v>0</v>
      </c>
    </row>
    <row r="11" spans="1:10" x14ac:dyDescent="0.3">
      <c r="A11" t="s">
        <v>42</v>
      </c>
      <c r="B11" t="s">
        <v>36</v>
      </c>
      <c r="C11">
        <v>10</v>
      </c>
      <c r="D11">
        <v>18</v>
      </c>
      <c r="E11">
        <v>175652.94</v>
      </c>
      <c r="F11">
        <v>0</v>
      </c>
      <c r="G11">
        <v>0</v>
      </c>
      <c r="H11">
        <v>0</v>
      </c>
      <c r="I11">
        <v>10</v>
      </c>
      <c r="J11">
        <v>0</v>
      </c>
    </row>
    <row r="12" spans="1:10" x14ac:dyDescent="0.3">
      <c r="A12" t="s">
        <v>42</v>
      </c>
      <c r="B12" t="s">
        <v>39</v>
      </c>
      <c r="C12">
        <v>1</v>
      </c>
      <c r="D12">
        <v>1</v>
      </c>
      <c r="E12">
        <v>26676</v>
      </c>
      <c r="F12">
        <v>0</v>
      </c>
      <c r="G12">
        <v>0</v>
      </c>
      <c r="H12">
        <v>0</v>
      </c>
      <c r="I12">
        <v>1</v>
      </c>
      <c r="J12">
        <v>0</v>
      </c>
    </row>
    <row r="13" spans="1:10" x14ac:dyDescent="0.3">
      <c r="A13" t="s">
        <v>42</v>
      </c>
      <c r="B13" t="s">
        <v>19</v>
      </c>
      <c r="C13">
        <v>1</v>
      </c>
      <c r="D13">
        <v>1</v>
      </c>
      <c r="E13">
        <v>1177.2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0" x14ac:dyDescent="0.3">
      <c r="A14" t="s">
        <v>43</v>
      </c>
      <c r="B14" t="s">
        <v>10</v>
      </c>
      <c r="C14">
        <v>153</v>
      </c>
      <c r="D14">
        <v>578</v>
      </c>
      <c r="E14">
        <v>69718888.409999996</v>
      </c>
      <c r="F14">
        <v>3</v>
      </c>
      <c r="G14">
        <v>13</v>
      </c>
      <c r="H14">
        <v>8</v>
      </c>
      <c r="I14">
        <v>129</v>
      </c>
      <c r="J14">
        <v>0</v>
      </c>
    </row>
    <row r="15" spans="1:10" x14ac:dyDescent="0.3">
      <c r="A15" t="s">
        <v>43</v>
      </c>
      <c r="B15" t="s">
        <v>12</v>
      </c>
      <c r="C15">
        <v>64</v>
      </c>
      <c r="D15">
        <v>175</v>
      </c>
      <c r="E15">
        <v>64383638.990000002</v>
      </c>
      <c r="F15">
        <v>5</v>
      </c>
      <c r="G15">
        <v>7</v>
      </c>
      <c r="H15">
        <v>8</v>
      </c>
      <c r="I15">
        <v>44</v>
      </c>
      <c r="J15">
        <v>0</v>
      </c>
    </row>
    <row r="16" spans="1:10" x14ac:dyDescent="0.3">
      <c r="A16" t="s">
        <v>43</v>
      </c>
      <c r="B16" t="s">
        <v>13</v>
      </c>
      <c r="C16">
        <v>116</v>
      </c>
      <c r="D16">
        <v>378</v>
      </c>
      <c r="E16">
        <v>63782447.850000001</v>
      </c>
      <c r="F16">
        <v>2</v>
      </c>
      <c r="G16">
        <v>11</v>
      </c>
      <c r="H16">
        <v>10</v>
      </c>
      <c r="I16">
        <v>93</v>
      </c>
      <c r="J16">
        <v>0</v>
      </c>
    </row>
    <row r="17" spans="1:10" x14ac:dyDescent="0.3">
      <c r="A17" t="s">
        <v>43</v>
      </c>
      <c r="B17" t="s">
        <v>20</v>
      </c>
      <c r="C17">
        <v>175</v>
      </c>
      <c r="D17">
        <v>739</v>
      </c>
      <c r="E17">
        <v>46232457.719999999</v>
      </c>
      <c r="F17">
        <v>0</v>
      </c>
      <c r="G17">
        <v>11</v>
      </c>
      <c r="H17">
        <v>13</v>
      </c>
      <c r="I17">
        <v>151</v>
      </c>
      <c r="J17">
        <v>0</v>
      </c>
    </row>
    <row r="18" spans="1:10" x14ac:dyDescent="0.3">
      <c r="A18" t="s">
        <v>43</v>
      </c>
      <c r="B18" t="s">
        <v>21</v>
      </c>
      <c r="C18">
        <v>173</v>
      </c>
      <c r="D18">
        <v>657</v>
      </c>
      <c r="E18">
        <v>45589244.399999999</v>
      </c>
      <c r="F18">
        <v>1</v>
      </c>
      <c r="G18">
        <v>8</v>
      </c>
      <c r="H18">
        <v>13</v>
      </c>
      <c r="I18">
        <v>151</v>
      </c>
      <c r="J18">
        <v>0</v>
      </c>
    </row>
    <row r="19" spans="1:10" x14ac:dyDescent="0.3">
      <c r="A19" t="s">
        <v>43</v>
      </c>
      <c r="B19" t="s">
        <v>22</v>
      </c>
      <c r="C19">
        <v>127</v>
      </c>
      <c r="D19">
        <v>362</v>
      </c>
      <c r="E19">
        <v>39230774.93</v>
      </c>
      <c r="F19">
        <v>0</v>
      </c>
      <c r="G19">
        <v>8</v>
      </c>
      <c r="H19">
        <v>14</v>
      </c>
      <c r="I19">
        <v>105</v>
      </c>
      <c r="J19">
        <v>0</v>
      </c>
    </row>
    <row r="20" spans="1:10" x14ac:dyDescent="0.3">
      <c r="A20" t="s">
        <v>43</v>
      </c>
      <c r="B20" t="s">
        <v>26</v>
      </c>
      <c r="C20">
        <v>172</v>
      </c>
      <c r="D20">
        <v>570</v>
      </c>
      <c r="E20">
        <v>28333641.809999999</v>
      </c>
      <c r="F20">
        <v>0</v>
      </c>
      <c r="G20">
        <v>5</v>
      </c>
      <c r="H20">
        <v>10</v>
      </c>
      <c r="I20">
        <v>157</v>
      </c>
      <c r="J20">
        <v>0</v>
      </c>
    </row>
    <row r="21" spans="1:10" x14ac:dyDescent="0.3">
      <c r="A21" t="s">
        <v>43</v>
      </c>
      <c r="B21" t="s">
        <v>28</v>
      </c>
      <c r="C21">
        <v>149</v>
      </c>
      <c r="D21">
        <v>419</v>
      </c>
      <c r="E21">
        <v>18164576.68</v>
      </c>
      <c r="F21">
        <v>0</v>
      </c>
      <c r="G21">
        <v>3</v>
      </c>
      <c r="H21">
        <v>5</v>
      </c>
      <c r="I21">
        <v>141</v>
      </c>
      <c r="J21">
        <v>0</v>
      </c>
    </row>
    <row r="22" spans="1:10" x14ac:dyDescent="0.3">
      <c r="A22" t="s">
        <v>43</v>
      </c>
      <c r="B22" t="s">
        <v>31</v>
      </c>
      <c r="C22">
        <v>108</v>
      </c>
      <c r="D22">
        <v>176</v>
      </c>
      <c r="E22">
        <v>6026969.7300000004</v>
      </c>
      <c r="F22">
        <v>0</v>
      </c>
      <c r="G22">
        <v>1</v>
      </c>
      <c r="H22">
        <v>1</v>
      </c>
      <c r="I22">
        <v>106</v>
      </c>
      <c r="J22">
        <v>0</v>
      </c>
    </row>
    <row r="23" spans="1:10" x14ac:dyDescent="0.3">
      <c r="A23" t="s">
        <v>43</v>
      </c>
      <c r="B23" t="s">
        <v>35</v>
      </c>
      <c r="C23">
        <v>70</v>
      </c>
      <c r="D23">
        <v>135</v>
      </c>
      <c r="E23">
        <v>2786766.27</v>
      </c>
      <c r="F23">
        <v>0</v>
      </c>
      <c r="G23">
        <v>0</v>
      </c>
      <c r="H23">
        <v>1</v>
      </c>
      <c r="I23">
        <v>69</v>
      </c>
      <c r="J23">
        <v>0</v>
      </c>
    </row>
    <row r="24" spans="1:10" x14ac:dyDescent="0.3">
      <c r="A24" t="s">
        <v>43</v>
      </c>
      <c r="B24" t="s">
        <v>38</v>
      </c>
      <c r="C24">
        <v>4</v>
      </c>
      <c r="D24">
        <v>5</v>
      </c>
      <c r="E24">
        <v>130103.58</v>
      </c>
      <c r="F24">
        <v>0</v>
      </c>
      <c r="G24">
        <v>0</v>
      </c>
      <c r="H24">
        <v>0</v>
      </c>
      <c r="I24">
        <v>4</v>
      </c>
      <c r="J24">
        <v>0</v>
      </c>
    </row>
    <row r="25" spans="1:10" x14ac:dyDescent="0.3">
      <c r="A25" t="s">
        <v>43</v>
      </c>
      <c r="B25" t="s">
        <v>40</v>
      </c>
      <c r="C25">
        <v>2</v>
      </c>
      <c r="D25">
        <v>2</v>
      </c>
      <c r="E25">
        <v>20196</v>
      </c>
      <c r="F25">
        <v>0</v>
      </c>
      <c r="G25">
        <v>0</v>
      </c>
      <c r="H25">
        <v>0</v>
      </c>
      <c r="I25">
        <v>2</v>
      </c>
      <c r="J25">
        <v>0</v>
      </c>
    </row>
    <row r="26" spans="1:10" x14ac:dyDescent="0.3">
      <c r="A26" t="s">
        <v>44</v>
      </c>
      <c r="B26" t="s">
        <v>3</v>
      </c>
      <c r="C26">
        <v>115</v>
      </c>
      <c r="D26">
        <v>205</v>
      </c>
      <c r="E26">
        <v>194090051.38</v>
      </c>
      <c r="F26">
        <v>9</v>
      </c>
      <c r="G26">
        <v>34</v>
      </c>
      <c r="H26">
        <v>19</v>
      </c>
      <c r="I26">
        <v>53</v>
      </c>
      <c r="J26">
        <v>0</v>
      </c>
    </row>
    <row r="27" spans="1:10" x14ac:dyDescent="0.3">
      <c r="A27" t="s">
        <v>44</v>
      </c>
      <c r="B27" t="s">
        <v>6</v>
      </c>
      <c r="C27">
        <v>50</v>
      </c>
      <c r="D27">
        <v>94</v>
      </c>
      <c r="E27">
        <v>135649269.40000001</v>
      </c>
      <c r="F27">
        <v>5</v>
      </c>
      <c r="G27">
        <v>19</v>
      </c>
      <c r="H27">
        <v>7</v>
      </c>
      <c r="I27">
        <v>19</v>
      </c>
      <c r="J27">
        <v>0</v>
      </c>
    </row>
    <row r="28" spans="1:10" x14ac:dyDescent="0.3">
      <c r="A28" t="s">
        <v>44</v>
      </c>
      <c r="B28" t="s">
        <v>8</v>
      </c>
      <c r="C28">
        <v>40</v>
      </c>
      <c r="D28">
        <v>65</v>
      </c>
      <c r="E28">
        <v>108722902.98</v>
      </c>
      <c r="F28">
        <v>7</v>
      </c>
      <c r="G28">
        <v>13</v>
      </c>
      <c r="H28">
        <v>5</v>
      </c>
      <c r="I28">
        <v>15</v>
      </c>
      <c r="J28">
        <v>0</v>
      </c>
    </row>
    <row r="29" spans="1:10" x14ac:dyDescent="0.3">
      <c r="A29" t="s">
        <v>44</v>
      </c>
      <c r="B29" t="s">
        <v>9</v>
      </c>
      <c r="C29">
        <v>43</v>
      </c>
      <c r="D29">
        <v>68</v>
      </c>
      <c r="E29">
        <v>84014380</v>
      </c>
      <c r="F29">
        <v>5</v>
      </c>
      <c r="G29">
        <v>6</v>
      </c>
      <c r="H29">
        <v>4</v>
      </c>
      <c r="I29">
        <v>28</v>
      </c>
      <c r="J29">
        <v>0</v>
      </c>
    </row>
    <row r="30" spans="1:10" x14ac:dyDescent="0.3">
      <c r="A30" t="s">
        <v>44</v>
      </c>
      <c r="B30" t="s">
        <v>11</v>
      </c>
      <c r="C30">
        <v>45</v>
      </c>
      <c r="D30">
        <v>68</v>
      </c>
      <c r="E30">
        <v>68946300.090000004</v>
      </c>
      <c r="F30">
        <v>4</v>
      </c>
      <c r="G30">
        <v>9</v>
      </c>
      <c r="H30">
        <v>7</v>
      </c>
      <c r="I30">
        <v>25</v>
      </c>
      <c r="J30">
        <v>0</v>
      </c>
    </row>
    <row r="31" spans="1:10" x14ac:dyDescent="0.3">
      <c r="A31" t="s">
        <v>44</v>
      </c>
      <c r="B31" t="s">
        <v>37</v>
      </c>
      <c r="C31">
        <v>1</v>
      </c>
      <c r="D31">
        <v>1</v>
      </c>
      <c r="E31">
        <v>144960</v>
      </c>
      <c r="F31">
        <v>0</v>
      </c>
      <c r="G31">
        <v>0</v>
      </c>
      <c r="H31">
        <v>0</v>
      </c>
      <c r="I31">
        <v>1</v>
      </c>
      <c r="J31">
        <v>0</v>
      </c>
    </row>
    <row r="32" spans="1:10" x14ac:dyDescent="0.3">
      <c r="A32" t="s">
        <v>45</v>
      </c>
      <c r="B32" t="s">
        <v>14</v>
      </c>
      <c r="C32">
        <v>182</v>
      </c>
      <c r="D32">
        <v>537</v>
      </c>
      <c r="E32">
        <v>55395162.07</v>
      </c>
      <c r="F32">
        <v>1</v>
      </c>
      <c r="G32">
        <v>15</v>
      </c>
      <c r="H32">
        <v>10</v>
      </c>
      <c r="I32">
        <v>156</v>
      </c>
      <c r="J32">
        <v>0</v>
      </c>
    </row>
    <row r="33" spans="1:10" x14ac:dyDescent="0.3">
      <c r="A33" t="s">
        <v>45</v>
      </c>
      <c r="B33" t="s">
        <v>15</v>
      </c>
      <c r="C33">
        <v>93</v>
      </c>
      <c r="D33">
        <v>338</v>
      </c>
      <c r="E33">
        <v>53343303.710000001</v>
      </c>
      <c r="F33">
        <v>2</v>
      </c>
      <c r="G33">
        <v>10</v>
      </c>
      <c r="H33">
        <v>6</v>
      </c>
      <c r="I33">
        <v>74</v>
      </c>
      <c r="J33">
        <v>1</v>
      </c>
    </row>
    <row r="34" spans="1:10" x14ac:dyDescent="0.3">
      <c r="A34" t="s">
        <v>45</v>
      </c>
      <c r="B34" t="s">
        <v>16</v>
      </c>
      <c r="C34">
        <v>9</v>
      </c>
      <c r="D34">
        <v>37</v>
      </c>
      <c r="E34">
        <v>50765984.350000001</v>
      </c>
      <c r="F34">
        <v>3</v>
      </c>
      <c r="G34">
        <v>1</v>
      </c>
      <c r="H34">
        <v>1</v>
      </c>
      <c r="I34">
        <v>4</v>
      </c>
      <c r="J34">
        <v>0</v>
      </c>
    </row>
    <row r="35" spans="1:10" x14ac:dyDescent="0.3">
      <c r="A35" t="s">
        <v>45</v>
      </c>
      <c r="B35" t="s">
        <v>17</v>
      </c>
      <c r="C35">
        <v>282</v>
      </c>
      <c r="D35">
        <v>765</v>
      </c>
      <c r="E35">
        <v>50723180.299999997</v>
      </c>
      <c r="F35">
        <v>0</v>
      </c>
      <c r="G35">
        <v>9</v>
      </c>
      <c r="H35">
        <v>15</v>
      </c>
      <c r="I35">
        <v>258</v>
      </c>
      <c r="J35">
        <v>0</v>
      </c>
    </row>
    <row r="36" spans="1:10" x14ac:dyDescent="0.3">
      <c r="A36" t="s">
        <v>45</v>
      </c>
      <c r="B36" t="s">
        <v>18</v>
      </c>
      <c r="C36">
        <v>122</v>
      </c>
      <c r="D36">
        <v>367</v>
      </c>
      <c r="E36">
        <v>49494278.600000001</v>
      </c>
      <c r="F36">
        <v>2</v>
      </c>
      <c r="G36">
        <v>8</v>
      </c>
      <c r="H36">
        <v>12</v>
      </c>
      <c r="I36">
        <v>100</v>
      </c>
      <c r="J36">
        <v>0</v>
      </c>
    </row>
    <row r="37" spans="1:10" x14ac:dyDescent="0.3">
      <c r="A37" t="s">
        <v>45</v>
      </c>
      <c r="B37" t="s">
        <v>19</v>
      </c>
      <c r="C37">
        <v>312</v>
      </c>
      <c r="D37">
        <v>686</v>
      </c>
      <c r="E37">
        <v>46773678.770000003</v>
      </c>
      <c r="F37">
        <v>0</v>
      </c>
      <c r="G37">
        <v>12</v>
      </c>
      <c r="H37">
        <v>10</v>
      </c>
      <c r="I37">
        <v>290</v>
      </c>
      <c r="J37">
        <v>0</v>
      </c>
    </row>
    <row r="38" spans="1:10" x14ac:dyDescent="0.3">
      <c r="A38" t="s">
        <v>45</v>
      </c>
      <c r="B38" t="s">
        <v>23</v>
      </c>
      <c r="C38">
        <v>166</v>
      </c>
      <c r="D38">
        <v>415</v>
      </c>
      <c r="E38">
        <v>33578942.590000004</v>
      </c>
      <c r="F38">
        <v>1</v>
      </c>
      <c r="G38">
        <v>5</v>
      </c>
      <c r="H38">
        <v>7</v>
      </c>
      <c r="I38">
        <v>152</v>
      </c>
      <c r="J38">
        <v>1</v>
      </c>
    </row>
    <row r="39" spans="1:10" x14ac:dyDescent="0.3">
      <c r="A39" t="s">
        <v>45</v>
      </c>
      <c r="B39" t="s">
        <v>25</v>
      </c>
      <c r="C39">
        <v>170</v>
      </c>
      <c r="D39">
        <v>400</v>
      </c>
      <c r="E39">
        <v>28397775.48</v>
      </c>
      <c r="F39">
        <v>1</v>
      </c>
      <c r="G39">
        <v>5</v>
      </c>
      <c r="H39">
        <v>6</v>
      </c>
      <c r="I39">
        <v>158</v>
      </c>
      <c r="J39">
        <v>0</v>
      </c>
    </row>
    <row r="40" spans="1:10" x14ac:dyDescent="0.3">
      <c r="A40" t="s">
        <v>45</v>
      </c>
      <c r="B40" t="s">
        <v>27</v>
      </c>
      <c r="C40">
        <v>136</v>
      </c>
      <c r="D40">
        <v>333</v>
      </c>
      <c r="E40">
        <v>28319969.16</v>
      </c>
      <c r="F40">
        <v>1</v>
      </c>
      <c r="G40">
        <v>4</v>
      </c>
      <c r="H40">
        <v>8</v>
      </c>
      <c r="I40">
        <v>123</v>
      </c>
      <c r="J40">
        <v>0</v>
      </c>
    </row>
    <row r="41" spans="1:10" x14ac:dyDescent="0.3">
      <c r="A41" t="s">
        <v>45</v>
      </c>
      <c r="B41" t="s">
        <v>29</v>
      </c>
      <c r="C41">
        <v>111</v>
      </c>
      <c r="D41">
        <v>196</v>
      </c>
      <c r="E41">
        <v>8271900.1299999999</v>
      </c>
      <c r="F41">
        <v>0</v>
      </c>
      <c r="G41">
        <v>1</v>
      </c>
      <c r="H41">
        <v>0</v>
      </c>
      <c r="I41">
        <v>110</v>
      </c>
      <c r="J41">
        <v>0</v>
      </c>
    </row>
    <row r="42" spans="1:10" x14ac:dyDescent="0.3">
      <c r="A42" t="s">
        <v>45</v>
      </c>
      <c r="B42" t="s">
        <v>30</v>
      </c>
      <c r="C42">
        <v>138</v>
      </c>
      <c r="D42">
        <v>197</v>
      </c>
      <c r="E42">
        <v>6342983.1600000001</v>
      </c>
      <c r="F42">
        <v>0</v>
      </c>
      <c r="G42">
        <v>0</v>
      </c>
      <c r="H42">
        <v>1</v>
      </c>
      <c r="I42">
        <v>137</v>
      </c>
      <c r="J42">
        <v>0</v>
      </c>
    </row>
    <row r="43" spans="1:10" x14ac:dyDescent="0.3">
      <c r="A43" t="s">
        <v>45</v>
      </c>
      <c r="B43" t="s">
        <v>32</v>
      </c>
      <c r="C43">
        <v>72</v>
      </c>
      <c r="D43">
        <v>96</v>
      </c>
      <c r="E43">
        <v>5249708.83</v>
      </c>
      <c r="F43">
        <v>0</v>
      </c>
      <c r="G43">
        <v>0</v>
      </c>
      <c r="H43">
        <v>2</v>
      </c>
      <c r="I43">
        <v>70</v>
      </c>
      <c r="J43">
        <v>0</v>
      </c>
    </row>
    <row r="44" spans="1:10" x14ac:dyDescent="0.3">
      <c r="A44" t="s">
        <v>45</v>
      </c>
      <c r="B44" t="s">
        <v>41</v>
      </c>
      <c r="C44">
        <v>1</v>
      </c>
      <c r="D44">
        <v>1</v>
      </c>
      <c r="E44">
        <v>1620</v>
      </c>
      <c r="F44">
        <v>0</v>
      </c>
      <c r="G44">
        <v>0</v>
      </c>
      <c r="H44">
        <v>0</v>
      </c>
      <c r="I44">
        <v>1</v>
      </c>
      <c r="J44">
        <v>0</v>
      </c>
    </row>
  </sheetData>
  <conditionalFormatting sqref="F1:J1">
    <cfRule type="cellIs" dxfId="4" priority="3" operator="equal">
      <formula>"B"</formula>
    </cfRule>
    <cfRule type="cellIs" dxfId="3" priority="4" operator="equal">
      <formula>"A"</formula>
    </cfRule>
    <cfRule type="containsText" dxfId="2" priority="5" operator="containsText" text="A+ ">
      <formula>NOT(ISERROR(SEARCH("A+ ",F1)))</formula>
    </cfRule>
  </conditionalFormatting>
  <conditionalFormatting sqref="F1:J1">
    <cfRule type="cellIs" dxfId="1" priority="1" operator="equal">
      <formula>"C"</formula>
    </cfRule>
    <cfRule type="cellIs" dxfId="0" priority="2" operator="equal">
      <formula>"C-"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12" sqref="A12"/>
    </sheetView>
  </sheetViews>
  <sheetFormatPr defaultRowHeight="14.4" x14ac:dyDescent="0.3"/>
  <cols>
    <col min="1" max="1" width="32.33203125" customWidth="1"/>
    <col min="2" max="6" width="7.109375" customWidth="1"/>
  </cols>
  <sheetData>
    <row r="1" spans="1:6" x14ac:dyDescent="0.3">
      <c r="A1" s="2" t="s">
        <v>54</v>
      </c>
      <c r="B1" t="s">
        <v>43</v>
      </c>
    </row>
    <row r="3" spans="1:6" x14ac:dyDescent="0.3">
      <c r="A3" s="2" t="s">
        <v>56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</row>
    <row r="4" spans="1:6" x14ac:dyDescent="0.3">
      <c r="A4" s="3" t="s">
        <v>13</v>
      </c>
      <c r="B4" s="4">
        <v>2</v>
      </c>
      <c r="C4" s="4">
        <v>11</v>
      </c>
      <c r="D4" s="4">
        <v>10</v>
      </c>
      <c r="E4" s="4">
        <v>93</v>
      </c>
      <c r="F4" s="4">
        <v>0</v>
      </c>
    </row>
    <row r="5" spans="1:6" x14ac:dyDescent="0.3">
      <c r="A5" s="3" t="s">
        <v>40</v>
      </c>
      <c r="B5" s="4">
        <v>0</v>
      </c>
      <c r="C5" s="4">
        <v>0</v>
      </c>
      <c r="D5" s="4">
        <v>0</v>
      </c>
      <c r="E5" s="4">
        <v>2</v>
      </c>
      <c r="F5" s="4">
        <v>0</v>
      </c>
    </row>
    <row r="6" spans="1:6" x14ac:dyDescent="0.3">
      <c r="A6" s="3" t="s">
        <v>26</v>
      </c>
      <c r="B6" s="4">
        <v>0</v>
      </c>
      <c r="C6" s="4">
        <v>5</v>
      </c>
      <c r="D6" s="4">
        <v>10</v>
      </c>
      <c r="E6" s="4">
        <v>157</v>
      </c>
      <c r="F6" s="4">
        <v>0</v>
      </c>
    </row>
    <row r="7" spans="1:6" x14ac:dyDescent="0.3">
      <c r="A7" s="3" t="s">
        <v>21</v>
      </c>
      <c r="B7" s="4">
        <v>1</v>
      </c>
      <c r="C7" s="4">
        <v>8</v>
      </c>
      <c r="D7" s="4">
        <v>13</v>
      </c>
      <c r="E7" s="4">
        <v>151</v>
      </c>
      <c r="F7" s="4">
        <v>0</v>
      </c>
    </row>
    <row r="8" spans="1:6" x14ac:dyDescent="0.3">
      <c r="A8" s="3" t="s">
        <v>22</v>
      </c>
      <c r="B8" s="4">
        <v>0</v>
      </c>
      <c r="C8" s="4">
        <v>8</v>
      </c>
      <c r="D8" s="4">
        <v>14</v>
      </c>
      <c r="E8" s="4">
        <v>105</v>
      </c>
      <c r="F8" s="4">
        <v>0</v>
      </c>
    </row>
    <row r="9" spans="1:6" x14ac:dyDescent="0.3">
      <c r="A9" s="3" t="s">
        <v>28</v>
      </c>
      <c r="B9" s="4">
        <v>0</v>
      </c>
      <c r="C9" s="4">
        <v>3</v>
      </c>
      <c r="D9" s="4">
        <v>5</v>
      </c>
      <c r="E9" s="4">
        <v>141</v>
      </c>
      <c r="F9" s="4">
        <v>0</v>
      </c>
    </row>
    <row r="10" spans="1:6" x14ac:dyDescent="0.3">
      <c r="A10" s="3" t="s">
        <v>31</v>
      </c>
      <c r="B10" s="4">
        <v>0</v>
      </c>
      <c r="C10" s="4">
        <v>1</v>
      </c>
      <c r="D10" s="4">
        <v>1</v>
      </c>
      <c r="E10" s="4">
        <v>106</v>
      </c>
      <c r="F10" s="4">
        <v>0</v>
      </c>
    </row>
    <row r="11" spans="1:6" x14ac:dyDescent="0.3">
      <c r="A11" s="3" t="s">
        <v>20</v>
      </c>
      <c r="B11" s="4">
        <v>0</v>
      </c>
      <c r="C11" s="4">
        <v>11</v>
      </c>
      <c r="D11" s="4">
        <v>13</v>
      </c>
      <c r="E11" s="4">
        <v>151</v>
      </c>
      <c r="F11" s="4">
        <v>0</v>
      </c>
    </row>
    <row r="12" spans="1:6" x14ac:dyDescent="0.3">
      <c r="A12" s="3" t="s">
        <v>10</v>
      </c>
      <c r="B12" s="4">
        <v>3</v>
      </c>
      <c r="C12" s="4">
        <v>13</v>
      </c>
      <c r="D12" s="4">
        <v>8</v>
      </c>
      <c r="E12" s="4">
        <v>129</v>
      </c>
      <c r="F12" s="4">
        <v>0</v>
      </c>
    </row>
    <row r="13" spans="1:6" x14ac:dyDescent="0.3">
      <c r="A13" s="3" t="s">
        <v>35</v>
      </c>
      <c r="B13" s="4">
        <v>0</v>
      </c>
      <c r="C13" s="4">
        <v>0</v>
      </c>
      <c r="D13" s="4">
        <v>1</v>
      </c>
      <c r="E13" s="4">
        <v>69</v>
      </c>
      <c r="F13" s="4">
        <v>0</v>
      </c>
    </row>
    <row r="14" spans="1:6" x14ac:dyDescent="0.3">
      <c r="A14" s="3" t="s">
        <v>12</v>
      </c>
      <c r="B14" s="4">
        <v>5</v>
      </c>
      <c r="C14" s="4">
        <v>7</v>
      </c>
      <c r="D14" s="4">
        <v>8</v>
      </c>
      <c r="E14" s="4">
        <v>44</v>
      </c>
      <c r="F14" s="4">
        <v>0</v>
      </c>
    </row>
    <row r="15" spans="1:6" x14ac:dyDescent="0.3">
      <c r="A15" s="3" t="s">
        <v>38</v>
      </c>
      <c r="B15" s="4">
        <v>0</v>
      </c>
      <c r="C15" s="4">
        <v>0</v>
      </c>
      <c r="D15" s="4">
        <v>0</v>
      </c>
      <c r="E15" s="4">
        <v>4</v>
      </c>
      <c r="F15" s="4">
        <v>0</v>
      </c>
    </row>
    <row r="16" spans="1:6" x14ac:dyDescent="0.3">
      <c r="A16" s="3" t="s">
        <v>57</v>
      </c>
      <c r="B16" s="4">
        <v>11</v>
      </c>
      <c r="C16" s="4">
        <v>67</v>
      </c>
      <c r="D16" s="4">
        <v>83</v>
      </c>
      <c r="E16" s="4">
        <v>1152</v>
      </c>
      <c r="F16" s="4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Диаграмма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2025-12-14T21:59:47Z</dcterms:created>
  <dcterms:modified xsi:type="dcterms:W3CDTF">2025-12-15T20:50:44Z</dcterms:modified>
</cp:coreProperties>
</file>